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<sst xmlns="http://schemas.openxmlformats.org/spreadsheetml/2006/main" count="484" uniqueCount="377">
  <si>
    <t>Benchmark</t>
  </si>
  <si>
    <t>Paper / Venue / Year</t>
  </si>
  <si>
    <t>arXiv</t>
  </si>
  <si>
    <t>Publication date</t>
  </si>
  <si>
    <t>Area</t>
  </si>
  <si>
    <t>Task type(s)</t>
  </si>
  <si>
    <t>Size</t>
  </si>
  <si>
    <t>Data source</t>
  </si>
  <si>
    <t>Format</t>
  </si>
  <si>
    <t>Eval metric</t>
  </si>
  <si>
    <t>Availability</t>
  </si>
  <si>
    <t>SOTA / human gap</t>
  </si>
  <si>
    <t>coda-bench</t>
  </si>
  <si>
    <t>SheetBrain / SheetBench</t>
  </si>
  <si>
    <t>Wang et al., AAAI 2026</t>
  </si>
  <si>
    <t>1 (manip+QA)</t>
  </si>
  <si>
    <t>Reasoning over large sheets</t>
  </si>
  <si>
    <t>new benchmark</t>
  </si>
  <si>
    <t>Complex sheets</t>
  </si>
  <si>
    <t>XLSX</t>
  </si>
  <si>
    <t>Exec / accuracy</t>
  </si>
  <si>
    <t>github microsoft/SheetBrain</t>
  </si>
  <si>
    <t>Beats prior agents</t>
  </si>
  <si>
    <t>SODBench</t>
  </si>
  <si>
    <t>1 (doc)</t>
  </si>
  <si>
    <t>Operation documentation</t>
  </si>
  <si>
    <t>111 pairs</t>
  </si>
  <si>
    <t>Code snippets</t>
  </si>
  <si>
    <t>Code + NL</t>
  </si>
  <si>
    <t>BLEU/ROUGE + Pass@1</t>
  </si>
  <si>
    <t>~0.52 ROUGE-L</t>
  </si>
  <si>
    <t>like code summarization?</t>
  </si>
  <si>
    <t>DeepAnalyze</t>
  </si>
  <si>
    <t>Zhang et al., RUC 2025</t>
  </si>
  <si>
    <t>2 (agent)</t>
  </si>
  <si>
    <t>Autonomous DS</t>
  </si>
  <si>
    <t>model (8B)</t>
  </si>
  <si>
    <t>—</t>
  </si>
  <si>
    <t>Multi</t>
  </si>
  <si>
    <t>Multiple</t>
  </si>
  <si>
    <t>github ruc-datalab</t>
  </si>
  <si>
    <t>8B beats proprietary workflow agents</t>
  </si>
  <si>
    <t>StatEval</t>
  </si>
  <si>
    <t>Lu et al., 2025</t>
  </si>
  <si>
    <t>2 (stats)</t>
  </si>
  <si>
    <t>Comprehensive stats</t>
  </si>
  <si>
    <t>13.8K+ (v1)</t>
  </si>
  <si>
    <t>Curricula / journals</t>
  </si>
  <si>
    <t>Text</t>
  </si>
  <si>
    <t>Accuracy</t>
  </si>
  <si>
    <t>stateval.github.io</t>
  </si>
  <si>
    <t>GPT-5-mini &lt;57% research</t>
  </si>
  <si>
    <t>DABStep</t>
  </si>
  <si>
    <t>Adyen + HF, 2025</t>
  </si>
  <si>
    <t>Multi-step analysis</t>
  </si>
  <si>
    <t>450+ tasks</t>
  </si>
  <si>
    <t>Adyen ops</t>
  </si>
  <si>
    <t>CSV/JSON/MD</t>
  </si>
  <si>
    <t>Factoid auto-check</t>
  </si>
  <si>
    <t>HF adyen/DABstep</t>
  </si>
  <si>
    <t>o4-mini 14.55% hard / 76.39% easy</t>
  </si>
  <si>
    <t>RealHiTBench</t>
  </si>
  <si>
    <t>Wu et al., Findings ACL 2025</t>
  </si>
  <si>
    <t>1 (hierarchical)</t>
  </si>
  <si>
    <t>Hierarchical table analysis</t>
  </si>
  <si>
    <t>708 tables / 3752 QA</t>
  </si>
  <si>
    <t>24 domains</t>
  </si>
  <si>
    <t>LaTeX/HTML/PNG</t>
  </si>
  <si>
    <t>Multi-task scores</t>
  </si>
  <si>
    <t>github cspzyy</t>
  </si>
  <si>
    <t>Best ≈56.95 (&lt;70)</t>
  </si>
  <si>
    <t>KramaBench</t>
  </si>
  <si>
    <t>Lai et al., MIT 2025</t>
  </si>
  <si>
    <t>2 (pipeline)</t>
  </si>
  <si>
    <t>Data-lake pipelines</t>
  </si>
  <si>
    <t>104 tasks / 1700 files</t>
  </si>
  <si>
    <t>Data lakes, 6 domains</t>
  </si>
  <si>
    <t>End-to-end accuracy</t>
  </si>
  <si>
    <t>github mitdbg</t>
  </si>
  <si>
    <t>55.83% (62% w/ perfect retrieval)</t>
  </si>
  <si>
    <t>IDA-Bench</t>
  </si>
  <si>
    <t>Li et al., 2025</t>
  </si>
  <si>
    <t>2 (interactive)</t>
  </si>
  <si>
    <t>Multi-round analysis</t>
  </si>
  <si>
    <t>~209 insights</t>
  </si>
  <si>
    <t>Kaggle notebooks</t>
  </si>
  <si>
    <t>CSV</t>
  </si>
  <si>
    <t>Numeric baseline match</t>
  </si>
  <si>
    <t>github lhydave</t>
  </si>
  <si>
    <t>Best &lt;50%</t>
  </si>
  <si>
    <t>DSDBench</t>
  </si>
  <si>
    <t>Yang et al., EMNLP 2025</t>
  </si>
  <si>
    <t>2 (debug)</t>
  </si>
  <si>
    <t>Multi-hop/bug debugging</t>
  </si>
  <si>
    <t>1117 samples</t>
  </si>
  <si>
    <t>DABench / MatPlotBench</t>
  </si>
  <si>
    <t>Code</t>
  </si>
  <si>
    <t>github KevinCL16</t>
  </si>
  <si>
    <t>Large gaps</t>
  </si>
  <si>
    <t>DatawiseAgent</t>
  </si>
  <si>
    <t>You et al., EMNLP 2025</t>
  </si>
  <si>
    <t>Notebook-centric DS</t>
  </si>
  <si>
    <t>agent framework</t>
  </si>
  <si>
    <t>SR on DABench/DSBench</t>
  </si>
  <si>
    <t>SOTA on DABench/DSBench/MatPlotBench</t>
  </si>
  <si>
    <t>StatLLM</t>
  </si>
  <si>
    <t>Song et al., Nature Sci Data 2026</t>
  </si>
  <si>
    <t>SAS/R code eval</t>
  </si>
  <si>
    <t>Stat tasks</t>
  </si>
  <si>
    <t>Human rating</t>
  </si>
  <si>
    <t>github yili-hong</t>
  </si>
  <si>
    <t>DataSciBench</t>
  </si>
  <si>
    <t>Zhang et al., THUDM 2025</t>
  </si>
  <si>
    <t>Full DS pipeline</t>
  </si>
  <si>
    <t>multi-task</t>
  </si>
  <si>
    <t>Curated</t>
  </si>
  <si>
    <t>SR/CR/TPST</t>
  </si>
  <si>
    <t>datascibench.github.io</t>
  </si>
  <si>
    <t>GPT-4o ~66% SR</t>
  </si>
  <si>
    <t>MiMoTable</t>
  </si>
  <si>
    <t>Li et al., COLING 2025</t>
  </si>
  <si>
    <t>1 (QA)</t>
  </si>
  <si>
    <t>Multi-scale meta-op reasoning</t>
  </si>
  <si>
    <t>428 sheets, 7 domains</t>
  </si>
  <si>
    <t>Real spreadsheets</t>
  </si>
  <si>
    <t>ACL Anthology</t>
  </si>
  <si>
    <t>Claude-3.5 77.4%</t>
  </si>
  <si>
    <t>PandasPlotBench</t>
  </si>
  <si>
    <t>Galimzyanov et al., 2024</t>
  </si>
  <si>
    <t>2 (viz)</t>
  </si>
  <si>
    <t>Plotting code gen</t>
  </si>
  <si>
    <t>175 tasks</t>
  </si>
  <si>
    <t>Matplotlib gallery</t>
  </si>
  <si>
    <t>DataFrame→plot</t>
  </si>
  <si>
    <t>Exec + LLM-judge</t>
  </si>
  <si>
    <t>github JetBrains</t>
  </si>
  <si>
    <t>TQA-Bench</t>
  </si>
  <si>
    <t>Qiu et al., 2024</t>
  </si>
  <si>
    <t>1 (multi-table)</t>
  </si>
  <si>
    <t>Multi-table QA</t>
  </si>
  <si>
    <t>scalable 8K–64K ctx</t>
  </si>
  <si>
    <t>Real relational DBs</t>
  </si>
  <si>
    <t>DB</t>
  </si>
  <si>
    <t>Accuracy + symbolic</t>
  </si>
  <si>
    <t>arXiv/IEEE DataPort</t>
  </si>
  <si>
    <t>Gaps in compositional reasoning</t>
  </si>
  <si>
    <t>Spider 2.0</t>
  </si>
  <si>
    <t>Lei et al., ICLR 2025 Oral</t>
  </si>
  <si>
    <t>2 (text-SQL)</t>
  </si>
  <si>
    <t>Enterprise workflows</t>
  </si>
  <si>
    <t>632 tasks (+snow/lite/dbt)</t>
  </si>
  <si>
    <t>Enterprise DBs</t>
  </si>
  <si>
    <t>Exec accuracy</t>
  </si>
  <si>
    <t>github xlang-ai</t>
  </si>
  <si>
    <t>o1-preview 21.3% full; 62.8–66.1% annotation errors (Snow)</t>
  </si>
  <si>
    <t>DA-Code</t>
  </si>
  <si>
    <t>Huang et al., EMNLP 2024</t>
  </si>
  <si>
    <t>2 (code)</t>
  </si>
  <si>
    <t>Wrangling/ML/EDA</t>
  </si>
  <si>
    <t>500 tasks</t>
  </si>
  <si>
    <t>Kaggle/GitHub</t>
  </si>
  <si>
    <t>Executable</t>
  </si>
  <si>
    <t>github yiyihum</t>
  </si>
  <si>
    <t>Best 30.5%</t>
  </si>
  <si>
    <t>ScienceAgentBench</t>
  </si>
  <si>
    <t>Chen et al., ICLR 2025</t>
  </si>
  <si>
    <t>2 (discovery)</t>
  </si>
  <si>
    <t>Data-driven discovery code</t>
  </si>
  <si>
    <t>102 tasks</t>
  </si>
  <si>
    <t>44 papers, 4 fields</t>
  </si>
  <si>
    <t>Rubric + execution</t>
  </si>
  <si>
    <t>github OSU-NLP</t>
  </si>
  <si>
    <t>Verified split Apr 2026</t>
  </si>
  <si>
    <t>DSBench</t>
  </si>
  <si>
    <t>Jing et al., ICLR 2025</t>
  </si>
  <si>
    <t>Analysis + modeling</t>
  </si>
  <si>
    <t>466 + 74 tasks</t>
  </si>
  <si>
    <t>ModelOff + Kaggle</t>
  </si>
  <si>
    <t>XLSX/CSV/img</t>
  </si>
  <si>
    <t>Accuracy + RPG</t>
  </si>
  <si>
    <t>github liqiangjing</t>
  </si>
  <si>
    <t>Best 34.12%</t>
  </si>
  <si>
    <t>BLADE</t>
  </si>
  <si>
    <t>Gu et al., EMNLP 2024 Findings</t>
  </si>
  <si>
    <t>Justifiable analysis</t>
  </si>
  <si>
    <t>12 datasets/RQs</t>
  </si>
  <si>
    <t>Sci literature</t>
  </si>
  <si>
    <t>Auto decision-match</t>
  </si>
  <si>
    <t>blade-bench.github.io</t>
  </si>
  <si>
    <t>&lt;50% (Claude-3.7)</t>
  </si>
  <si>
    <t>TableBench</t>
  </si>
  <si>
    <t>Wu et al., AAAI 2025</t>
  </si>
  <si>
    <t>18-way table QA</t>
  </si>
  <si>
    <t>886 samples / 3681 tables</t>
  </si>
  <si>
    <t>Industrial tables</t>
  </si>
  <si>
    <t>CSV/HTML</t>
  </si>
  <si>
    <t>Auto + human</t>
  </si>
  <si>
    <t>tablebench.github.io</t>
  </si>
  <si>
    <t>GPT-4 modest vs human</t>
  </si>
  <si>
    <t>SpreadsheetLLM</t>
  </si>
  <si>
    <t>Microsoft, 2024</t>
  </si>
  <si>
    <t>1 (understand)</t>
  </si>
  <si>
    <t>Encoding + detection/QA</t>
  </si>
  <si>
    <t>F1 (table detection)</t>
  </si>
  <si>
    <t>MS Research</t>
  </si>
  <si>
    <t>F1 78.9% detection</t>
  </si>
  <si>
    <t>DiscoveryBench</t>
  </si>
  <si>
    <t>Majumder et al., ICLR 2025</t>
  </si>
  <si>
    <t>Hypothesis search/verify</t>
  </si>
  <si>
    <t>264 real + 903 synth</t>
  </si>
  <si>
    <t>Papers, 6 domains</t>
  </si>
  <si>
    <t>Hypothesis Matching Score</t>
  </si>
  <si>
    <t>github allenai</t>
  </si>
  <si>
    <t>Best ~25%</t>
  </si>
  <si>
    <t>VisEval</t>
  </si>
  <si>
    <t>Chen et al., IEEE VIS 2024</t>
  </si>
  <si>
    <t>NL2VIS</t>
  </si>
  <si>
    <t>2524 Q / 146 DBs</t>
  </si>
  <si>
    <t>DB→chart</t>
  </si>
  <si>
    <t>Validity/legality/readability</t>
  </si>
  <si>
    <t>Substantial failures</t>
  </si>
  <si>
    <t>SpreadsheetBench</t>
  </si>
  <si>
    <t>Ma et al., NeurIPS 2024 D&amp;B</t>
  </si>
  <si>
    <t>1 (manip)</t>
  </si>
  <si>
    <t>Excel manipulation</t>
  </si>
  <si>
    <t>912 Q / 2729 tests</t>
  </si>
  <si>
    <t>Excel forums</t>
  </si>
  <si>
    <t>Online-judge (soft/hard)</t>
  </si>
  <si>
    <t>github RUCKBReasoning</t>
  </si>
  <si>
    <t>Best models ~20% vs humans &gt;70%</t>
  </si>
  <si>
    <t>StatQA</t>
  </si>
  <si>
    <t>Zhu et al., NeurIPS 2024 D&amp;B</t>
  </si>
  <si>
    <t>Method applicability</t>
  </si>
  <si>
    <t>11623 tasks</t>
  </si>
  <si>
    <t>github</t>
  </si>
  <si>
    <t>Method-selection gaps</t>
  </si>
  <si>
    <t>SheetAgent / SheetRM</t>
  </si>
  <si>
    <t>Chen et al., WWW 2025</t>
  </si>
  <si>
    <t>1 (manip+reason)</t>
  </si>
  <si>
    <t>Long-horizon manip + reasoning</t>
  </si>
  <si>
    <t>multi-category</t>
  </si>
  <si>
    <t>Real-life</t>
  </si>
  <si>
    <t>Exec@1/Pass@1/SubPass@1</t>
  </si>
  <si>
    <t>sheetagent.github.io</t>
  </si>
  <si>
    <t>+20–40% over baselines</t>
  </si>
  <si>
    <t>DSEval</t>
  </si>
  <si>
    <t>Zhang et al., ACL 2024</t>
  </si>
  <si>
    <t>Lifecycle DS eval</t>
  </si>
  <si>
    <t>multi sub-bench</t>
  </si>
  <si>
    <t>Bootstrapped</t>
  </si>
  <si>
    <t>Python</t>
  </si>
  <si>
    <t>Correctness</t>
  </si>
  <si>
    <t>QRData / QRText</t>
  </si>
  <si>
    <t>Liu et al., ACL 2024 Findings</t>
  </si>
  <si>
    <t>2 (stats/causal)</t>
  </si>
  <si>
    <t>Stat + causal reasoning</t>
  </si>
  <si>
    <t>411 + 290 Q</t>
  </si>
  <si>
    <t>Textbooks/papers</t>
  </si>
  <si>
    <t>CSV+text</t>
  </si>
  <si>
    <t>github xxxiaol</t>
  </si>
  <si>
    <t>GPT-4 58%</t>
  </si>
  <si>
    <t>MatPlotBench</t>
  </si>
  <si>
    <t>Yang et al., ACL 2024 Findings</t>
  </si>
  <si>
    <t>Scientific viz</t>
  </si>
  <si>
    <t>100 cases</t>
  </si>
  <si>
    <t>CSV→plot</t>
  </si>
  <si>
    <t>GPT-4V score</t>
  </si>
  <si>
    <t>github thunlp</t>
  </si>
  <si>
    <t>InfiAgent-DABench</t>
  </si>
  <si>
    <t>Hu et al., ICML 2024</t>
  </si>
  <si>
    <t>End-to-end data analysis</t>
  </si>
  <si>
    <t>257 Q / 52 CSV</t>
  </si>
  <si>
    <t>GitHub CSVs</t>
  </si>
  <si>
    <t>Closed-form auto</t>
  </si>
  <si>
    <t>github InfiAgent</t>
  </si>
  <si>
    <t>GPT-4 78.99%</t>
  </si>
  <si>
    <t>Text2Analysis</t>
  </si>
  <si>
    <t>He et al., AAAI 2024</t>
  </si>
  <si>
    <t>2 (analysis)</t>
  </si>
  <si>
    <t>Advanced analysis + unclear queries</t>
  </si>
  <si>
    <t>2249 pairs / 347 tables</t>
  </si>
  <si>
    <t>Table→code</t>
  </si>
  <si>
    <t>ECR + pass@1</t>
  </si>
  <si>
    <t>github microsoft</t>
  </si>
  <si>
    <t>MMQA</t>
  </si>
  <si>
    <t>Wu et al., ICLR 2025</t>
  </si>
  <si>
    <t>2024 (est.)</t>
  </si>
  <si>
    <t>Tables</t>
  </si>
  <si>
    <t>ICLR</t>
  </si>
  <si>
    <t>Highlights multi-table complexity</t>
  </si>
  <si>
    <t>SheetCopilot (SCB)</t>
  </si>
  <si>
    <t>Li et al., NeurIPS 2023</t>
  </si>
  <si>
    <t>Spreadsheet control</t>
  </si>
  <si>
    <t>221 tasks / 28 workbooks</t>
  </si>
  <si>
    <t>Exec@1, Pass@1</t>
  </si>
  <si>
    <t>github BraveGroup</t>
  </si>
  <si>
    <t>44.3% single-gen</t>
  </si>
  <si>
    <t>FLAME</t>
  </si>
  <si>
    <t>Joshi et al., AAAI 2024</t>
  </si>
  <si>
    <t>1 (formula)</t>
  </si>
  <si>
    <t>Formula repair/completion</t>
  </si>
  <si>
    <t>Excel formulas</t>
  </si>
  <si>
    <t>Formulas</t>
  </si>
  <si>
    <t>Beats Codex in 10/14</t>
  </si>
  <si>
    <t>BIRD</t>
  </si>
  <si>
    <t>Text-to-SQL (real)</t>
  </si>
  <si>
    <t>12751 Q / 95 DBs</t>
  </si>
  <si>
    <t>Real DBs + knowledge</t>
  </si>
  <si>
    <t>Exec accuracy + VES</t>
  </si>
  <si>
    <t>bird-bench</t>
  </si>
  <si>
    <t>o1-preview 73.0%; 52.8% annotation errors (Mini-Dev)</t>
  </si>
  <si>
    <t>DataBench</t>
  </si>
  <si>
    <t>Osés Grijalba et al., LREC-COLING 2024</t>
  </si>
  <si>
    <t>2023 (est.)</t>
  </si>
  <si>
    <t>Tabular QA (SemEval-2025 Task 8)</t>
  </si>
  <si>
    <t>65–80 tables / 522 QA</t>
  </si>
  <si>
    <t>Real-world tables</t>
  </si>
  <si>
    <t>DS-1000</t>
  </si>
  <si>
    <t>Lai et al., ICML 2023</t>
  </si>
  <si>
    <t>DS code gen</t>
  </si>
  <si>
    <t>1000 problems</t>
  </si>
  <si>
    <t>StackOverflow</t>
  </si>
  <si>
    <t>Func + surface-form</t>
  </si>
  <si>
    <t>1.8% false-accept</t>
  </si>
  <si>
    <t>MultiHiertt</t>
  </si>
  <si>
    <t>Zhao et al., ACL 2022</t>
  </si>
  <si>
    <t>1↔2</t>
  </si>
  <si>
    <t>Multi-hierarchical num. reasoning</t>
  </si>
  <si>
    <t>10440 examples</t>
  </si>
  <si>
    <t>Financial (FinQA/FinTabNet)</t>
  </si>
  <si>
    <t>Table+text</t>
  </si>
  <si>
    <t>EM/F1</t>
  </si>
  <si>
    <t>Best F1 38.43% vs human 87.03%</t>
  </si>
  <si>
    <t>HiTab</t>
  </si>
  <si>
    <t>Cheng et al., ACL 2022</t>
  </si>
  <si>
    <t>QA + NLG</t>
  </si>
  <si>
    <t>10672 Q</t>
  </si>
  <si>
    <t>Stat reports / Wiki</t>
  </si>
  <si>
    <t>Hierarchical</t>
  </si>
  <si>
    <t>ConvFinQA</t>
  </si>
  <si>
    <t>Chen et al., EMNLP 2022</t>
  </si>
  <si>
    <t>Conversational num. reasoning</t>
  </si>
  <si>
    <t>3892 convos</t>
  </si>
  <si>
    <t>Financial</t>
  </si>
  <si>
    <t>FeTaQA</t>
  </si>
  <si>
    <t>Nan et al., TACL 2022</t>
  </si>
  <si>
    <t>Free-form table QA</t>
  </si>
  <si>
    <t>10330 Q</t>
  </si>
  <si>
    <t>Wikipedia</t>
  </si>
  <si>
    <t>BLEU</t>
  </si>
  <si>
    <t>SpreadsheetCoder</t>
  </si>
  <si>
    <t>Chen et al., ICML 2021</t>
  </si>
  <si>
    <t>Formula prediction</t>
  </si>
  <si>
    <t>~17K sheets (Enron)</t>
  </si>
  <si>
    <t>Google Sheets / Enron</t>
  </si>
  <si>
    <t>Sheets</t>
  </si>
  <si>
    <t>Top-1 accuracy</t>
  </si>
  <si>
    <t>42.51% top-1</t>
  </si>
  <si>
    <t>FinQA</t>
  </si>
  <si>
    <t>Chen et al., EMNLP 2021</t>
  </si>
  <si>
    <t>1↔2 (finance)</t>
  </si>
  <si>
    <t>Numerical reasoning</t>
  </si>
  <si>
    <t>8281 Q</t>
  </si>
  <si>
    <t>Earnings reports</t>
  </si>
  <si>
    <t>FinQANet 61.24% vs human 91.16%; ≥3-step 22.78%</t>
  </si>
  <si>
    <t>TAT-QA</t>
  </si>
  <si>
    <t>Zhu et al., ACL 2021</t>
  </si>
  <si>
    <t>Hybrid table-text QA</t>
  </si>
  <si>
    <t>16552 Q</t>
  </si>
  <si>
    <t>Financial reports</t>
  </si>
  <si>
    <t>Spider 1.0</t>
  </si>
  <si>
    <t>Yu et al., EMNLP 2018</t>
  </si>
  <si>
    <t>Text-to-SQL</t>
  </si>
  <si>
    <t>10181 Q / 200 DBs</t>
  </si>
  <si>
    <t>Curated DBs</t>
  </si>
  <si>
    <t>Exec + exact-set-match</t>
  </si>
  <si>
    <t>Near-saturated (91.2%)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</si>
</sst>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yyyy-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0" xfId="0" applyFont="1"/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tateval.github.io" TargetMode="External"/><Relationship Id="rId2" Type="http://schemas.openxmlformats.org/officeDocument/2006/relationships/hyperlink" Target="http://datascibench.github.io" TargetMode="External"/><Relationship Id="rId3" Type="http://schemas.openxmlformats.org/officeDocument/2006/relationships/hyperlink" Target="http://blade-bench.github.io" TargetMode="External"/><Relationship Id="rId4" Type="http://schemas.openxmlformats.org/officeDocument/2006/relationships/hyperlink" Target="http://tablebench.github.io" TargetMode="External"/><Relationship Id="rId5" Type="http://schemas.openxmlformats.org/officeDocument/2006/relationships/hyperlink" Target="http://sheetagent.github.io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6" max="6" width="23.75"/>
    <col customWidth="1" min="8" max="8" width="22.75"/>
    <col customWidth="1" min="10" max="10" width="19.38"/>
    <col customWidth="1" min="12" max="12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/>
      <c r="C2" s="3"/>
      <c r="D2" s="4"/>
      <c r="E2" s="3"/>
      <c r="F2" s="3"/>
      <c r="G2" s="3"/>
      <c r="H2" s="3"/>
      <c r="I2" s="3"/>
      <c r="J2" s="3"/>
      <c r="K2" s="3"/>
      <c r="L2" s="3"/>
    </row>
    <row r="3">
      <c r="A3" s="5" t="s">
        <v>13</v>
      </c>
      <c r="B3" s="5" t="s">
        <v>14</v>
      </c>
      <c r="C3" s="5">
        <v>2510.19247</v>
      </c>
      <c r="D3" s="6">
        <v>45931.0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7" t="str">
        <f>IFERROR(__xludf.DUMMYFUNCTION("AI("""")"),"")</f>
        <v/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23</v>
      </c>
      <c r="B4" s="3">
        <v>2025.0</v>
      </c>
      <c r="C4" s="3">
        <v>2510.19864</v>
      </c>
      <c r="D4" s="4">
        <v>45931.0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2</v>
      </c>
      <c r="L4" s="3" t="s">
        <v>30</v>
      </c>
      <c r="M4" s="3" t="s">
        <v>31</v>
      </c>
    </row>
    <row r="5">
      <c r="A5" s="5" t="s">
        <v>32</v>
      </c>
      <c r="B5" s="5" t="s">
        <v>33</v>
      </c>
      <c r="C5" s="5">
        <v>2510.16872</v>
      </c>
      <c r="D5" s="6">
        <v>45931.0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42</v>
      </c>
      <c r="B6" s="3" t="s">
        <v>43</v>
      </c>
      <c r="C6" s="3">
        <v>2510.09517</v>
      </c>
      <c r="D6" s="4">
        <v>45931.0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  <c r="K6" s="8" t="s">
        <v>50</v>
      </c>
      <c r="L6" s="3" t="s">
        <v>51</v>
      </c>
    </row>
    <row r="7">
      <c r="A7" s="3" t="s">
        <v>52</v>
      </c>
      <c r="B7" s="3" t="s">
        <v>53</v>
      </c>
      <c r="C7" s="3">
        <v>2506.23719</v>
      </c>
      <c r="D7" s="9">
        <v>45809.0</v>
      </c>
      <c r="E7" s="3" t="s">
        <v>34</v>
      </c>
      <c r="F7" s="3" t="s">
        <v>54</v>
      </c>
      <c r="G7" s="3" t="s">
        <v>55</v>
      </c>
      <c r="H7" s="3" t="s">
        <v>56</v>
      </c>
      <c r="I7" s="3" t="s">
        <v>57</v>
      </c>
      <c r="J7" s="3" t="s">
        <v>58</v>
      </c>
      <c r="K7" s="3" t="s">
        <v>59</v>
      </c>
      <c r="L7" s="3" t="s">
        <v>60</v>
      </c>
    </row>
    <row r="8">
      <c r="A8" s="3" t="s">
        <v>61</v>
      </c>
      <c r="B8" s="3" t="s">
        <v>62</v>
      </c>
      <c r="C8" s="3">
        <v>2506.13405</v>
      </c>
      <c r="D8" s="9">
        <v>45809.0</v>
      </c>
      <c r="E8" s="3" t="s">
        <v>63</v>
      </c>
      <c r="F8" s="3" t="s">
        <v>64</v>
      </c>
      <c r="G8" s="3" t="s">
        <v>65</v>
      </c>
      <c r="H8" s="3" t="s">
        <v>66</v>
      </c>
      <c r="I8" s="3" t="s">
        <v>67</v>
      </c>
      <c r="J8" s="3" t="s">
        <v>68</v>
      </c>
      <c r="K8" s="3" t="s">
        <v>69</v>
      </c>
      <c r="L8" s="3" t="s">
        <v>70</v>
      </c>
    </row>
    <row r="9">
      <c r="A9" s="3" t="s">
        <v>71</v>
      </c>
      <c r="B9" s="3" t="s">
        <v>72</v>
      </c>
      <c r="C9" s="3">
        <v>2506.06541</v>
      </c>
      <c r="D9" s="9">
        <v>45809.0</v>
      </c>
      <c r="E9" s="3" t="s">
        <v>73</v>
      </c>
      <c r="F9" s="3" t="s">
        <v>74</v>
      </c>
      <c r="G9" s="3" t="s">
        <v>75</v>
      </c>
      <c r="H9" s="3" t="s">
        <v>76</v>
      </c>
      <c r="I9" s="3" t="s">
        <v>38</v>
      </c>
      <c r="J9" s="3" t="s">
        <v>77</v>
      </c>
      <c r="K9" s="3" t="s">
        <v>78</v>
      </c>
      <c r="L9" s="3" t="s">
        <v>79</v>
      </c>
    </row>
    <row r="10">
      <c r="A10" s="3" t="s">
        <v>80</v>
      </c>
      <c r="B10" s="3" t="s">
        <v>81</v>
      </c>
      <c r="C10" s="3">
        <v>2505.18223</v>
      </c>
      <c r="D10" s="9">
        <v>45778.0</v>
      </c>
      <c r="E10" s="3" t="s">
        <v>82</v>
      </c>
      <c r="F10" s="3" t="s">
        <v>83</v>
      </c>
      <c r="G10" s="3" t="s">
        <v>84</v>
      </c>
      <c r="H10" s="3" t="s">
        <v>85</v>
      </c>
      <c r="I10" s="3" t="s">
        <v>86</v>
      </c>
      <c r="J10" s="3" t="s">
        <v>87</v>
      </c>
      <c r="K10" s="3" t="s">
        <v>88</v>
      </c>
      <c r="L10" s="3" t="s">
        <v>89</v>
      </c>
    </row>
    <row r="11">
      <c r="A11" s="3" t="s">
        <v>90</v>
      </c>
      <c r="B11" s="3" t="s">
        <v>91</v>
      </c>
      <c r="C11" s="3">
        <v>2503.22388</v>
      </c>
      <c r="D11" s="9">
        <v>45717.0</v>
      </c>
      <c r="E11" s="3" t="s">
        <v>92</v>
      </c>
      <c r="F11" s="3" t="s">
        <v>93</v>
      </c>
      <c r="G11" s="3" t="s">
        <v>94</v>
      </c>
      <c r="H11" s="3" t="s">
        <v>95</v>
      </c>
      <c r="I11" s="3" t="s">
        <v>96</v>
      </c>
      <c r="J11" s="3" t="s">
        <v>49</v>
      </c>
      <c r="K11" s="3" t="s">
        <v>97</v>
      </c>
      <c r="L11" s="3" t="s">
        <v>98</v>
      </c>
    </row>
    <row r="12">
      <c r="A12" s="3" t="s">
        <v>99</v>
      </c>
      <c r="B12" s="3" t="s">
        <v>100</v>
      </c>
      <c r="C12" s="3">
        <v>2503.07044</v>
      </c>
      <c r="D12" s="9">
        <v>45717.0</v>
      </c>
      <c r="E12" s="3" t="s">
        <v>34</v>
      </c>
      <c r="F12" s="3" t="s">
        <v>101</v>
      </c>
      <c r="G12" s="3" t="s">
        <v>102</v>
      </c>
      <c r="H12" s="3" t="s">
        <v>39</v>
      </c>
      <c r="I12" s="3" t="s">
        <v>38</v>
      </c>
      <c r="J12" s="3" t="s">
        <v>103</v>
      </c>
      <c r="K12" s="3" t="s">
        <v>2</v>
      </c>
      <c r="L12" s="3" t="s">
        <v>104</v>
      </c>
    </row>
    <row r="13">
      <c r="A13" s="3" t="s">
        <v>105</v>
      </c>
      <c r="B13" s="3" t="s">
        <v>106</v>
      </c>
      <c r="C13" s="3">
        <v>2502.17657</v>
      </c>
      <c r="D13" s="9">
        <v>45689.0</v>
      </c>
      <c r="E13" s="3" t="s">
        <v>44</v>
      </c>
      <c r="F13" s="3" t="s">
        <v>107</v>
      </c>
      <c r="G13" s="3" t="s">
        <v>37</v>
      </c>
      <c r="H13" s="3" t="s">
        <v>108</v>
      </c>
      <c r="I13" s="3" t="s">
        <v>96</v>
      </c>
      <c r="J13" s="3" t="s">
        <v>109</v>
      </c>
      <c r="K13" s="3" t="s">
        <v>110</v>
      </c>
      <c r="L13" s="3" t="s">
        <v>37</v>
      </c>
    </row>
    <row r="14">
      <c r="A14" s="3" t="s">
        <v>111</v>
      </c>
      <c r="B14" s="3" t="s">
        <v>112</v>
      </c>
      <c r="C14" s="3">
        <v>2502.13897</v>
      </c>
      <c r="D14" s="9">
        <v>45689.0</v>
      </c>
      <c r="E14" s="3" t="s">
        <v>34</v>
      </c>
      <c r="F14" s="3" t="s">
        <v>113</v>
      </c>
      <c r="G14" s="3" t="s">
        <v>114</v>
      </c>
      <c r="H14" s="3" t="s">
        <v>115</v>
      </c>
      <c r="I14" s="3" t="s">
        <v>38</v>
      </c>
      <c r="J14" s="3" t="s">
        <v>116</v>
      </c>
      <c r="K14" s="8" t="s">
        <v>117</v>
      </c>
      <c r="L14" s="3" t="s">
        <v>118</v>
      </c>
    </row>
    <row r="15">
      <c r="A15" s="3" t="s">
        <v>119</v>
      </c>
      <c r="B15" s="3" t="s">
        <v>120</v>
      </c>
      <c r="C15" s="3">
        <v>2412.11711</v>
      </c>
      <c r="D15" s="4">
        <v>45627.0</v>
      </c>
      <c r="E15" s="3" t="s">
        <v>121</v>
      </c>
      <c r="F15" s="3" t="s">
        <v>122</v>
      </c>
      <c r="G15" s="3" t="s">
        <v>123</v>
      </c>
      <c r="H15" s="3" t="s">
        <v>124</v>
      </c>
      <c r="I15" s="3" t="s">
        <v>19</v>
      </c>
      <c r="J15" s="3" t="s">
        <v>49</v>
      </c>
      <c r="K15" s="3" t="s">
        <v>125</v>
      </c>
      <c r="L15" s="3" t="s">
        <v>126</v>
      </c>
    </row>
    <row r="16">
      <c r="A16" s="3" t="s">
        <v>127</v>
      </c>
      <c r="B16" s="3" t="s">
        <v>128</v>
      </c>
      <c r="C16" s="3">
        <v>2412.02764</v>
      </c>
      <c r="D16" s="4">
        <v>45627.0</v>
      </c>
      <c r="E16" s="3" t="s">
        <v>129</v>
      </c>
      <c r="F16" s="3" t="s">
        <v>130</v>
      </c>
      <c r="G16" s="3" t="s">
        <v>131</v>
      </c>
      <c r="H16" s="3" t="s">
        <v>132</v>
      </c>
      <c r="I16" s="3" t="s">
        <v>133</v>
      </c>
      <c r="J16" s="3" t="s">
        <v>134</v>
      </c>
      <c r="K16" s="3" t="s">
        <v>135</v>
      </c>
      <c r="L16" s="3" t="s">
        <v>37</v>
      </c>
    </row>
    <row r="17">
      <c r="A17" s="3" t="s">
        <v>136</v>
      </c>
      <c r="B17" s="3" t="s">
        <v>137</v>
      </c>
      <c r="C17" s="3">
        <v>2411.19504</v>
      </c>
      <c r="D17" s="4">
        <v>45597.0</v>
      </c>
      <c r="E17" s="3" t="s">
        <v>138</v>
      </c>
      <c r="F17" s="3" t="s">
        <v>139</v>
      </c>
      <c r="G17" s="3" t="s">
        <v>140</v>
      </c>
      <c r="H17" s="3" t="s">
        <v>141</v>
      </c>
      <c r="I17" s="3" t="s">
        <v>142</v>
      </c>
      <c r="J17" s="3" t="s">
        <v>143</v>
      </c>
      <c r="K17" s="3" t="s">
        <v>144</v>
      </c>
      <c r="L17" s="3" t="s">
        <v>145</v>
      </c>
    </row>
    <row r="18">
      <c r="A18" s="3" t="s">
        <v>146</v>
      </c>
      <c r="B18" s="3" t="s">
        <v>147</v>
      </c>
      <c r="C18" s="3">
        <v>2411.07763</v>
      </c>
      <c r="D18" s="4">
        <v>45597.0</v>
      </c>
      <c r="E18" s="3" t="s">
        <v>148</v>
      </c>
      <c r="F18" s="3" t="s">
        <v>149</v>
      </c>
      <c r="G18" s="3" t="s">
        <v>150</v>
      </c>
      <c r="H18" s="3" t="s">
        <v>151</v>
      </c>
      <c r="I18" s="3" t="s">
        <v>142</v>
      </c>
      <c r="J18" s="3" t="s">
        <v>152</v>
      </c>
      <c r="K18" s="3" t="s">
        <v>153</v>
      </c>
      <c r="L18" s="3" t="s">
        <v>154</v>
      </c>
    </row>
    <row r="19">
      <c r="A19" s="3" t="s">
        <v>155</v>
      </c>
      <c r="B19" s="3" t="s">
        <v>156</v>
      </c>
      <c r="C19" s="3">
        <v>2410.07331</v>
      </c>
      <c r="D19" s="4">
        <v>45566.0</v>
      </c>
      <c r="E19" s="3" t="s">
        <v>157</v>
      </c>
      <c r="F19" s="3" t="s">
        <v>158</v>
      </c>
      <c r="G19" s="3" t="s">
        <v>159</v>
      </c>
      <c r="H19" s="3" t="s">
        <v>160</v>
      </c>
      <c r="I19" s="3" t="s">
        <v>38</v>
      </c>
      <c r="J19" s="3" t="s">
        <v>161</v>
      </c>
      <c r="K19" s="3" t="s">
        <v>162</v>
      </c>
      <c r="L19" s="3" t="s">
        <v>163</v>
      </c>
    </row>
    <row r="20">
      <c r="A20" s="3" t="s">
        <v>164</v>
      </c>
      <c r="B20" s="3" t="s">
        <v>165</v>
      </c>
      <c r="C20" s="3">
        <v>2410.0508</v>
      </c>
      <c r="D20" s="4">
        <v>45566.0</v>
      </c>
      <c r="E20" s="3" t="s">
        <v>166</v>
      </c>
      <c r="F20" s="3" t="s">
        <v>167</v>
      </c>
      <c r="G20" s="3" t="s">
        <v>168</v>
      </c>
      <c r="H20" s="3" t="s">
        <v>169</v>
      </c>
      <c r="I20" s="3" t="s">
        <v>38</v>
      </c>
      <c r="J20" s="3" t="s">
        <v>170</v>
      </c>
      <c r="K20" s="3" t="s">
        <v>171</v>
      </c>
      <c r="L20" s="3" t="s">
        <v>172</v>
      </c>
    </row>
    <row r="21">
      <c r="A21" s="3" t="s">
        <v>173</v>
      </c>
      <c r="B21" s="3" t="s">
        <v>174</v>
      </c>
      <c r="C21" s="3">
        <v>2409.07703</v>
      </c>
      <c r="D21" s="9">
        <v>45536.0</v>
      </c>
      <c r="E21" s="3" t="s">
        <v>34</v>
      </c>
      <c r="F21" s="3" t="s">
        <v>175</v>
      </c>
      <c r="G21" s="3" t="s">
        <v>176</v>
      </c>
      <c r="H21" s="3" t="s">
        <v>177</v>
      </c>
      <c r="I21" s="3" t="s">
        <v>178</v>
      </c>
      <c r="J21" s="3" t="s">
        <v>179</v>
      </c>
      <c r="K21" s="3" t="s">
        <v>180</v>
      </c>
      <c r="L21" s="3" t="s">
        <v>181</v>
      </c>
    </row>
    <row r="22">
      <c r="A22" s="3" t="s">
        <v>182</v>
      </c>
      <c r="B22" s="3" t="s">
        <v>183</v>
      </c>
      <c r="C22" s="3">
        <v>2408.09667</v>
      </c>
      <c r="D22" s="9">
        <v>45505.0</v>
      </c>
      <c r="E22" s="3" t="s">
        <v>166</v>
      </c>
      <c r="F22" s="3" t="s">
        <v>184</v>
      </c>
      <c r="G22" s="3" t="s">
        <v>185</v>
      </c>
      <c r="H22" s="3" t="s">
        <v>186</v>
      </c>
      <c r="I22" s="3" t="s">
        <v>86</v>
      </c>
      <c r="J22" s="3" t="s">
        <v>187</v>
      </c>
      <c r="K22" s="8" t="s">
        <v>188</v>
      </c>
      <c r="L22" s="3" t="s">
        <v>189</v>
      </c>
    </row>
    <row r="23">
      <c r="A23" s="3" t="s">
        <v>190</v>
      </c>
      <c r="B23" s="3" t="s">
        <v>191</v>
      </c>
      <c r="C23" s="3">
        <v>2408.09174</v>
      </c>
      <c r="D23" s="9">
        <v>45505.0</v>
      </c>
      <c r="E23" s="3" t="s">
        <v>121</v>
      </c>
      <c r="F23" s="3" t="s">
        <v>192</v>
      </c>
      <c r="G23" s="3" t="s">
        <v>193</v>
      </c>
      <c r="H23" s="3" t="s">
        <v>194</v>
      </c>
      <c r="I23" s="3" t="s">
        <v>195</v>
      </c>
      <c r="J23" s="3" t="s">
        <v>196</v>
      </c>
      <c r="K23" s="8" t="s">
        <v>197</v>
      </c>
      <c r="L23" s="3" t="s">
        <v>198</v>
      </c>
    </row>
    <row r="24">
      <c r="A24" s="3" t="s">
        <v>199</v>
      </c>
      <c r="B24" s="3" t="s">
        <v>200</v>
      </c>
      <c r="C24" s="3">
        <v>2407.09025</v>
      </c>
      <c r="D24" s="9">
        <v>45474.0</v>
      </c>
      <c r="E24" s="3" t="s">
        <v>201</v>
      </c>
      <c r="F24" s="3" t="s">
        <v>202</v>
      </c>
      <c r="G24" s="3" t="s">
        <v>37</v>
      </c>
      <c r="H24" s="3" t="s">
        <v>37</v>
      </c>
      <c r="I24" s="3" t="s">
        <v>19</v>
      </c>
      <c r="J24" s="3" t="s">
        <v>203</v>
      </c>
      <c r="K24" s="3" t="s">
        <v>204</v>
      </c>
      <c r="L24" s="3" t="s">
        <v>205</v>
      </c>
    </row>
    <row r="25">
      <c r="A25" s="3" t="s">
        <v>206</v>
      </c>
      <c r="B25" s="3" t="s">
        <v>207</v>
      </c>
      <c r="C25" s="3">
        <v>2407.01725</v>
      </c>
      <c r="D25" s="9">
        <v>45474.0</v>
      </c>
      <c r="E25" s="3" t="s">
        <v>166</v>
      </c>
      <c r="F25" s="3" t="s">
        <v>208</v>
      </c>
      <c r="G25" s="3" t="s">
        <v>209</v>
      </c>
      <c r="H25" s="3" t="s">
        <v>210</v>
      </c>
      <c r="I25" s="3" t="s">
        <v>86</v>
      </c>
      <c r="J25" s="3" t="s">
        <v>211</v>
      </c>
      <c r="K25" s="3" t="s">
        <v>212</v>
      </c>
      <c r="L25" s="3" t="s">
        <v>213</v>
      </c>
    </row>
    <row r="26">
      <c r="A26" s="3" t="s">
        <v>214</v>
      </c>
      <c r="B26" s="3" t="s">
        <v>215</v>
      </c>
      <c r="C26" s="3">
        <v>2407.00981</v>
      </c>
      <c r="D26" s="9">
        <v>45474.0</v>
      </c>
      <c r="E26" s="3" t="s">
        <v>129</v>
      </c>
      <c r="F26" s="3" t="s">
        <v>216</v>
      </c>
      <c r="G26" s="3" t="s">
        <v>217</v>
      </c>
      <c r="H26" s="3" t="s">
        <v>115</v>
      </c>
      <c r="I26" s="3" t="s">
        <v>218</v>
      </c>
      <c r="J26" s="3" t="s">
        <v>219</v>
      </c>
      <c r="K26" s="3" t="s">
        <v>204</v>
      </c>
      <c r="L26" s="3" t="s">
        <v>220</v>
      </c>
    </row>
    <row r="27">
      <c r="A27" s="3" t="s">
        <v>221</v>
      </c>
      <c r="B27" s="3" t="s">
        <v>222</v>
      </c>
      <c r="C27" s="3">
        <v>2406.14991</v>
      </c>
      <c r="D27" s="9">
        <v>45444.0</v>
      </c>
      <c r="E27" s="3" t="s">
        <v>223</v>
      </c>
      <c r="F27" s="3" t="s">
        <v>224</v>
      </c>
      <c r="G27" s="3" t="s">
        <v>225</v>
      </c>
      <c r="H27" s="3" t="s">
        <v>226</v>
      </c>
      <c r="I27" s="3" t="s">
        <v>19</v>
      </c>
      <c r="J27" s="3" t="s">
        <v>227</v>
      </c>
      <c r="K27" s="3" t="s">
        <v>228</v>
      </c>
      <c r="L27" s="3" t="s">
        <v>229</v>
      </c>
    </row>
    <row r="28">
      <c r="A28" s="3" t="s">
        <v>230</v>
      </c>
      <c r="B28" s="3" t="s">
        <v>231</v>
      </c>
      <c r="C28" s="3">
        <v>2406.07815</v>
      </c>
      <c r="D28" s="9">
        <v>45444.0</v>
      </c>
      <c r="E28" s="3" t="s">
        <v>44</v>
      </c>
      <c r="F28" s="3" t="s">
        <v>232</v>
      </c>
      <c r="G28" s="3" t="s">
        <v>233</v>
      </c>
      <c r="H28" s="3" t="s">
        <v>115</v>
      </c>
      <c r="I28" s="3" t="s">
        <v>86</v>
      </c>
      <c r="J28" s="3" t="s">
        <v>49</v>
      </c>
      <c r="K28" s="3" t="s">
        <v>234</v>
      </c>
      <c r="L28" s="3" t="s">
        <v>235</v>
      </c>
    </row>
    <row r="29">
      <c r="A29" s="3" t="s">
        <v>236</v>
      </c>
      <c r="B29" s="3" t="s">
        <v>237</v>
      </c>
      <c r="C29" s="3">
        <v>2403.03636</v>
      </c>
      <c r="D29" s="9">
        <v>45352.0</v>
      </c>
      <c r="E29" s="3" t="s">
        <v>238</v>
      </c>
      <c r="F29" s="3" t="s">
        <v>239</v>
      </c>
      <c r="G29" s="3" t="s">
        <v>240</v>
      </c>
      <c r="H29" s="3" t="s">
        <v>241</v>
      </c>
      <c r="I29" s="3" t="s">
        <v>19</v>
      </c>
      <c r="J29" s="3" t="s">
        <v>242</v>
      </c>
      <c r="K29" s="8" t="s">
        <v>243</v>
      </c>
      <c r="L29" s="3" t="s">
        <v>244</v>
      </c>
    </row>
    <row r="30">
      <c r="A30" s="3" t="s">
        <v>245</v>
      </c>
      <c r="B30" s="3" t="s">
        <v>246</v>
      </c>
      <c r="C30" s="3">
        <v>2402.17168</v>
      </c>
      <c r="D30" s="9">
        <v>45323.0</v>
      </c>
      <c r="E30" s="3" t="s">
        <v>34</v>
      </c>
      <c r="F30" s="3" t="s">
        <v>247</v>
      </c>
      <c r="G30" s="3" t="s">
        <v>248</v>
      </c>
      <c r="H30" s="3" t="s">
        <v>249</v>
      </c>
      <c r="I30" s="3" t="s">
        <v>250</v>
      </c>
      <c r="J30" s="3" t="s">
        <v>251</v>
      </c>
      <c r="K30" s="3" t="s">
        <v>234</v>
      </c>
      <c r="L30" s="3" t="s">
        <v>37</v>
      </c>
    </row>
    <row r="31">
      <c r="A31" s="3" t="s">
        <v>252</v>
      </c>
      <c r="B31" s="3" t="s">
        <v>253</v>
      </c>
      <c r="C31" s="3">
        <v>2402.17644</v>
      </c>
      <c r="D31" s="9">
        <v>45323.0</v>
      </c>
      <c r="E31" s="3" t="s">
        <v>254</v>
      </c>
      <c r="F31" s="3" t="s">
        <v>255</v>
      </c>
      <c r="G31" s="3" t="s">
        <v>256</v>
      </c>
      <c r="H31" s="3" t="s">
        <v>257</v>
      </c>
      <c r="I31" s="3" t="s">
        <v>258</v>
      </c>
      <c r="J31" s="3" t="s">
        <v>49</v>
      </c>
      <c r="K31" s="3" t="s">
        <v>259</v>
      </c>
      <c r="L31" s="3" t="s">
        <v>260</v>
      </c>
    </row>
    <row r="32">
      <c r="A32" s="3" t="s">
        <v>261</v>
      </c>
      <c r="B32" s="3" t="s">
        <v>262</v>
      </c>
      <c r="C32" s="3">
        <v>2402.11453</v>
      </c>
      <c r="D32" s="9">
        <v>45323.0</v>
      </c>
      <c r="E32" s="3" t="s">
        <v>129</v>
      </c>
      <c r="F32" s="3" t="s">
        <v>263</v>
      </c>
      <c r="G32" s="3" t="s">
        <v>264</v>
      </c>
      <c r="H32" s="3" t="s">
        <v>115</v>
      </c>
      <c r="I32" s="3" t="s">
        <v>265</v>
      </c>
      <c r="J32" s="3" t="s">
        <v>266</v>
      </c>
      <c r="K32" s="3" t="s">
        <v>267</v>
      </c>
      <c r="L32" s="3" t="s">
        <v>37</v>
      </c>
    </row>
    <row r="33">
      <c r="A33" s="3" t="s">
        <v>268</v>
      </c>
      <c r="B33" s="3" t="s">
        <v>269</v>
      </c>
      <c r="C33" s="3">
        <v>2401.05507</v>
      </c>
      <c r="D33" s="9">
        <v>45292.0</v>
      </c>
      <c r="E33" s="3" t="s">
        <v>34</v>
      </c>
      <c r="F33" s="3" t="s">
        <v>270</v>
      </c>
      <c r="G33" s="3" t="s">
        <v>271</v>
      </c>
      <c r="H33" s="3" t="s">
        <v>272</v>
      </c>
      <c r="I33" s="3" t="s">
        <v>86</v>
      </c>
      <c r="J33" s="3" t="s">
        <v>273</v>
      </c>
      <c r="K33" s="3" t="s">
        <v>274</v>
      </c>
      <c r="L33" s="3" t="s">
        <v>275</v>
      </c>
    </row>
    <row r="34">
      <c r="A34" s="3" t="s">
        <v>276</v>
      </c>
      <c r="B34" s="3" t="s">
        <v>277</v>
      </c>
      <c r="C34" s="3">
        <v>2312.13671</v>
      </c>
      <c r="D34" s="4">
        <v>45261.0</v>
      </c>
      <c r="E34" s="3" t="s">
        <v>278</v>
      </c>
      <c r="F34" s="3" t="s">
        <v>279</v>
      </c>
      <c r="G34" s="3" t="s">
        <v>280</v>
      </c>
      <c r="H34" s="3" t="s">
        <v>115</v>
      </c>
      <c r="I34" s="3" t="s">
        <v>281</v>
      </c>
      <c r="J34" s="3" t="s">
        <v>282</v>
      </c>
      <c r="K34" s="3" t="s">
        <v>283</v>
      </c>
      <c r="L34" s="3" t="s">
        <v>37</v>
      </c>
    </row>
    <row r="35">
      <c r="A35" s="3" t="s">
        <v>284</v>
      </c>
      <c r="B35" s="3" t="s">
        <v>285</v>
      </c>
      <c r="C35" s="3" t="s">
        <v>37</v>
      </c>
      <c r="D35" s="3" t="s">
        <v>286</v>
      </c>
      <c r="E35" s="3" t="s">
        <v>138</v>
      </c>
      <c r="F35" s="3" t="s">
        <v>139</v>
      </c>
      <c r="G35" s="3" t="s">
        <v>37</v>
      </c>
      <c r="H35" s="3" t="s">
        <v>115</v>
      </c>
      <c r="I35" s="3" t="s">
        <v>287</v>
      </c>
      <c r="J35" s="3" t="s">
        <v>49</v>
      </c>
      <c r="K35" s="3" t="s">
        <v>288</v>
      </c>
      <c r="L35" s="3" t="s">
        <v>289</v>
      </c>
    </row>
    <row r="36">
      <c r="A36" s="3" t="s">
        <v>290</v>
      </c>
      <c r="B36" s="3" t="s">
        <v>291</v>
      </c>
      <c r="C36" s="3">
        <v>2305.19308</v>
      </c>
      <c r="D36" s="9">
        <v>45047.0</v>
      </c>
      <c r="E36" s="3" t="s">
        <v>223</v>
      </c>
      <c r="F36" s="3" t="s">
        <v>292</v>
      </c>
      <c r="G36" s="3" t="s">
        <v>293</v>
      </c>
      <c r="H36" s="3" t="s">
        <v>115</v>
      </c>
      <c r="I36" s="3" t="s">
        <v>19</v>
      </c>
      <c r="J36" s="3" t="s">
        <v>294</v>
      </c>
      <c r="K36" s="3" t="s">
        <v>295</v>
      </c>
      <c r="L36" s="3" t="s">
        <v>296</v>
      </c>
    </row>
    <row r="37">
      <c r="A37" s="3" t="s">
        <v>297</v>
      </c>
      <c r="B37" s="3" t="s">
        <v>298</v>
      </c>
      <c r="C37" s="3">
        <v>2301.13779</v>
      </c>
      <c r="D37" s="9">
        <v>44927.0</v>
      </c>
      <c r="E37" s="3" t="s">
        <v>299</v>
      </c>
      <c r="F37" s="3" t="s">
        <v>300</v>
      </c>
      <c r="G37" s="3" t="s">
        <v>37</v>
      </c>
      <c r="H37" s="3" t="s">
        <v>301</v>
      </c>
      <c r="I37" s="3" t="s">
        <v>302</v>
      </c>
      <c r="J37" s="3" t="s">
        <v>49</v>
      </c>
      <c r="K37" s="3" t="s">
        <v>204</v>
      </c>
      <c r="L37" s="3" t="s">
        <v>303</v>
      </c>
    </row>
    <row r="38">
      <c r="A38" s="3" t="s">
        <v>304</v>
      </c>
      <c r="B38" s="3" t="s">
        <v>291</v>
      </c>
      <c r="C38" s="3" t="s">
        <v>37</v>
      </c>
      <c r="D38" s="3">
        <v>2023.0</v>
      </c>
      <c r="E38" s="3" t="s">
        <v>148</v>
      </c>
      <c r="F38" s="3" t="s">
        <v>305</v>
      </c>
      <c r="G38" s="3" t="s">
        <v>306</v>
      </c>
      <c r="H38" s="3" t="s">
        <v>307</v>
      </c>
      <c r="I38" s="3" t="s">
        <v>142</v>
      </c>
      <c r="J38" s="3" t="s">
        <v>308</v>
      </c>
      <c r="K38" s="3" t="s">
        <v>309</v>
      </c>
      <c r="L38" s="3" t="s">
        <v>310</v>
      </c>
    </row>
    <row r="39">
      <c r="A39" s="3" t="s">
        <v>311</v>
      </c>
      <c r="B39" s="3" t="s">
        <v>312</v>
      </c>
      <c r="C39" s="3" t="s">
        <v>37</v>
      </c>
      <c r="D39" s="3" t="s">
        <v>313</v>
      </c>
      <c r="E39" s="3" t="s">
        <v>121</v>
      </c>
      <c r="F39" s="3" t="s">
        <v>314</v>
      </c>
      <c r="G39" s="3" t="s">
        <v>315</v>
      </c>
      <c r="H39" s="3" t="s">
        <v>316</v>
      </c>
      <c r="I39" s="3" t="s">
        <v>86</v>
      </c>
      <c r="J39" s="3" t="s">
        <v>49</v>
      </c>
      <c r="K39" s="3" t="s">
        <v>125</v>
      </c>
      <c r="L39" s="3" t="s">
        <v>37</v>
      </c>
    </row>
    <row r="40">
      <c r="A40" s="3" t="s">
        <v>317</v>
      </c>
      <c r="B40" s="3" t="s">
        <v>318</v>
      </c>
      <c r="C40" s="3">
        <v>2211.11501</v>
      </c>
      <c r="D40" s="4">
        <v>44866.0</v>
      </c>
      <c r="E40" s="3" t="s">
        <v>157</v>
      </c>
      <c r="F40" s="3" t="s">
        <v>319</v>
      </c>
      <c r="G40" s="3" t="s">
        <v>320</v>
      </c>
      <c r="H40" s="3" t="s">
        <v>321</v>
      </c>
      <c r="I40" s="3" t="s">
        <v>250</v>
      </c>
      <c r="J40" s="3" t="s">
        <v>322</v>
      </c>
      <c r="K40" s="3" t="s">
        <v>153</v>
      </c>
      <c r="L40" s="3" t="s">
        <v>323</v>
      </c>
    </row>
    <row r="41">
      <c r="A41" s="3" t="s">
        <v>324</v>
      </c>
      <c r="B41" s="3" t="s">
        <v>325</v>
      </c>
      <c r="C41" s="3">
        <v>2206.01347</v>
      </c>
      <c r="D41" s="9">
        <v>44713.0</v>
      </c>
      <c r="E41" s="3" t="s">
        <v>326</v>
      </c>
      <c r="F41" s="3" t="s">
        <v>327</v>
      </c>
      <c r="G41" s="3" t="s">
        <v>328</v>
      </c>
      <c r="H41" s="3" t="s">
        <v>329</v>
      </c>
      <c r="I41" s="3" t="s">
        <v>330</v>
      </c>
      <c r="J41" s="3" t="s">
        <v>331</v>
      </c>
      <c r="K41" s="3" t="s">
        <v>234</v>
      </c>
      <c r="L41" s="3" t="s">
        <v>332</v>
      </c>
    </row>
    <row r="42">
      <c r="A42" s="3" t="s">
        <v>333</v>
      </c>
      <c r="B42" s="3" t="s">
        <v>334</v>
      </c>
      <c r="C42" s="3" t="s">
        <v>37</v>
      </c>
      <c r="D42" s="3">
        <v>2022.0</v>
      </c>
      <c r="E42" s="3" t="s">
        <v>63</v>
      </c>
      <c r="F42" s="3" t="s">
        <v>335</v>
      </c>
      <c r="G42" s="3" t="s">
        <v>336</v>
      </c>
      <c r="H42" s="3" t="s">
        <v>337</v>
      </c>
      <c r="I42" s="3" t="s">
        <v>338</v>
      </c>
      <c r="J42" s="3" t="s">
        <v>49</v>
      </c>
      <c r="K42" s="3" t="s">
        <v>234</v>
      </c>
      <c r="L42" s="3" t="s">
        <v>37</v>
      </c>
    </row>
    <row r="43">
      <c r="A43" s="3" t="s">
        <v>339</v>
      </c>
      <c r="B43" s="3" t="s">
        <v>340</v>
      </c>
      <c r="C43" s="3" t="s">
        <v>37</v>
      </c>
      <c r="D43" s="3">
        <v>2022.0</v>
      </c>
      <c r="E43" s="3" t="s">
        <v>326</v>
      </c>
      <c r="F43" s="3" t="s">
        <v>341</v>
      </c>
      <c r="G43" s="3" t="s">
        <v>342</v>
      </c>
      <c r="H43" s="3" t="s">
        <v>343</v>
      </c>
      <c r="I43" s="3" t="s">
        <v>330</v>
      </c>
      <c r="J43" s="3" t="s">
        <v>152</v>
      </c>
      <c r="K43" s="3" t="s">
        <v>234</v>
      </c>
      <c r="L43" s="3" t="s">
        <v>37</v>
      </c>
    </row>
    <row r="44">
      <c r="A44" s="3" t="s">
        <v>344</v>
      </c>
      <c r="B44" s="3" t="s">
        <v>345</v>
      </c>
      <c r="C44" s="3" t="s">
        <v>37</v>
      </c>
      <c r="D44" s="3">
        <v>2022.0</v>
      </c>
      <c r="E44" s="3" t="s">
        <v>121</v>
      </c>
      <c r="F44" s="3" t="s">
        <v>346</v>
      </c>
      <c r="G44" s="3" t="s">
        <v>347</v>
      </c>
      <c r="H44" s="3" t="s">
        <v>348</v>
      </c>
      <c r="I44" s="3" t="s">
        <v>330</v>
      </c>
      <c r="J44" s="3" t="s">
        <v>349</v>
      </c>
      <c r="K44" s="3" t="s">
        <v>234</v>
      </c>
      <c r="L44" s="3" t="s">
        <v>37</v>
      </c>
    </row>
    <row r="45">
      <c r="A45" s="3" t="s">
        <v>350</v>
      </c>
      <c r="B45" s="3" t="s">
        <v>351</v>
      </c>
      <c r="C45" s="3">
        <v>2106.15339</v>
      </c>
      <c r="D45" s="9">
        <v>44348.0</v>
      </c>
      <c r="E45" s="3" t="s">
        <v>299</v>
      </c>
      <c r="F45" s="3" t="s">
        <v>352</v>
      </c>
      <c r="G45" s="3" t="s">
        <v>353</v>
      </c>
      <c r="H45" s="3" t="s">
        <v>354</v>
      </c>
      <c r="I45" s="3" t="s">
        <v>355</v>
      </c>
      <c r="J45" s="3" t="s">
        <v>356</v>
      </c>
      <c r="K45" s="3" t="s">
        <v>37</v>
      </c>
      <c r="L45" s="3" t="s">
        <v>357</v>
      </c>
    </row>
    <row r="46">
      <c r="A46" s="3" t="s">
        <v>358</v>
      </c>
      <c r="B46" s="3" t="s">
        <v>359</v>
      </c>
      <c r="C46" s="3" t="s">
        <v>37</v>
      </c>
      <c r="D46" s="3">
        <v>2021.0</v>
      </c>
      <c r="E46" s="3" t="s">
        <v>360</v>
      </c>
      <c r="F46" s="3" t="s">
        <v>361</v>
      </c>
      <c r="G46" s="3" t="s">
        <v>362</v>
      </c>
      <c r="H46" s="3" t="s">
        <v>363</v>
      </c>
      <c r="I46" s="3" t="s">
        <v>330</v>
      </c>
      <c r="J46" s="3" t="s">
        <v>152</v>
      </c>
      <c r="K46" s="3" t="s">
        <v>234</v>
      </c>
      <c r="L46" s="3" t="s">
        <v>364</v>
      </c>
    </row>
    <row r="47">
      <c r="A47" s="3" t="s">
        <v>365</v>
      </c>
      <c r="B47" s="3" t="s">
        <v>366</v>
      </c>
      <c r="C47" s="3" t="s">
        <v>37</v>
      </c>
      <c r="D47" s="3">
        <v>2021.0</v>
      </c>
      <c r="E47" s="3" t="s">
        <v>326</v>
      </c>
      <c r="F47" s="3" t="s">
        <v>367</v>
      </c>
      <c r="G47" s="3" t="s">
        <v>368</v>
      </c>
      <c r="H47" s="3" t="s">
        <v>369</v>
      </c>
      <c r="I47" s="3" t="s">
        <v>330</v>
      </c>
      <c r="J47" s="3" t="s">
        <v>331</v>
      </c>
      <c r="K47" s="3" t="s">
        <v>234</v>
      </c>
      <c r="L47" s="3" t="s">
        <v>37</v>
      </c>
    </row>
    <row r="48">
      <c r="A48" s="3" t="s">
        <v>370</v>
      </c>
      <c r="B48" s="3" t="s">
        <v>371</v>
      </c>
      <c r="C48" s="3" t="s">
        <v>37</v>
      </c>
      <c r="D48" s="3">
        <v>2018.0</v>
      </c>
      <c r="E48" s="3" t="s">
        <v>148</v>
      </c>
      <c r="F48" s="3" t="s">
        <v>372</v>
      </c>
      <c r="G48" s="3" t="s">
        <v>373</v>
      </c>
      <c r="H48" s="3" t="s">
        <v>374</v>
      </c>
      <c r="I48" s="3" t="s">
        <v>142</v>
      </c>
      <c r="J48" s="3" t="s">
        <v>375</v>
      </c>
      <c r="K48" s="3" t="s">
        <v>234</v>
      </c>
      <c r="L48" s="3" t="s">
        <v>376</v>
      </c>
    </row>
  </sheetData>
  <hyperlinks>
    <hyperlink r:id="rId1" ref="K6"/>
    <hyperlink r:id="rId2" ref="K14"/>
    <hyperlink r:id="rId3" ref="K22"/>
    <hyperlink r:id="rId4" ref="K23"/>
    <hyperlink r:id="rId5" ref="K29"/>
  </hyperlinks>
  <drawing r:id="rId6"/>
</worksheet>
</file>